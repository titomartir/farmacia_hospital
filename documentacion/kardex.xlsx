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ormatica Portatil\Documents\"/>
    </mc:Choice>
  </mc:AlternateContent>
  <xr:revisionPtr revIDLastSave="0" documentId="8_{52B6D83D-733A-4E20-A4DB-7F4D4B67C71B}" xr6:coauthVersionLast="47" xr6:coauthVersionMax="47" xr10:uidLastSave="{00000000-0000-0000-0000-000000000000}"/>
  <bookViews>
    <workbookView xWindow="-120" yWindow="-120" windowWidth="29040" windowHeight="15720" xr2:uid="{0E0A8121-24BE-4607-9B34-04B87521B6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7" i="1" l="1"/>
  <c r="E67" i="1"/>
  <c r="I65" i="1"/>
  <c r="J65" i="1" s="1"/>
  <c r="G65" i="1"/>
  <c r="I64" i="1"/>
  <c r="J64" i="1" s="1"/>
  <c r="G64" i="1"/>
  <c r="I63" i="1"/>
  <c r="J63" i="1" s="1"/>
  <c r="G63" i="1"/>
  <c r="I62" i="1"/>
  <c r="J62" i="1" s="1"/>
  <c r="G62" i="1"/>
  <c r="I61" i="1"/>
  <c r="J61" i="1" s="1"/>
  <c r="G61" i="1"/>
  <c r="I60" i="1"/>
  <c r="J60" i="1" s="1"/>
  <c r="G60" i="1"/>
  <c r="I59" i="1"/>
  <c r="J59" i="1" s="1"/>
  <c r="G59" i="1"/>
  <c r="I58" i="1"/>
  <c r="J58" i="1" s="1"/>
  <c r="G58" i="1"/>
  <c r="I57" i="1"/>
  <c r="J57" i="1" s="1"/>
  <c r="G57" i="1"/>
  <c r="I56" i="1"/>
  <c r="J56" i="1" s="1"/>
  <c r="G56" i="1"/>
  <c r="I55" i="1"/>
  <c r="J55" i="1" s="1"/>
  <c r="G55" i="1"/>
  <c r="I54" i="1"/>
  <c r="J54" i="1" s="1"/>
  <c r="G54" i="1"/>
  <c r="I53" i="1"/>
  <c r="J53" i="1" s="1"/>
  <c r="G53" i="1"/>
  <c r="I52" i="1"/>
  <c r="J52" i="1" s="1"/>
  <c r="G52" i="1"/>
  <c r="I51" i="1"/>
  <c r="J51" i="1" s="1"/>
  <c r="G51" i="1"/>
  <c r="I50" i="1"/>
  <c r="J50" i="1" s="1"/>
  <c r="G50" i="1"/>
  <c r="I49" i="1"/>
  <c r="J49" i="1" s="1"/>
  <c r="G49" i="1"/>
  <c r="I48" i="1"/>
  <c r="J48" i="1" s="1"/>
  <c r="G48" i="1"/>
  <c r="I47" i="1"/>
  <c r="J47" i="1" s="1"/>
  <c r="G47" i="1"/>
  <c r="I46" i="1"/>
  <c r="J46" i="1" s="1"/>
  <c r="G46" i="1"/>
  <c r="I45" i="1"/>
  <c r="J45" i="1" s="1"/>
  <c r="G45" i="1"/>
  <c r="I44" i="1"/>
  <c r="J44" i="1" s="1"/>
  <c r="G44" i="1"/>
  <c r="I43" i="1"/>
  <c r="J43" i="1" s="1"/>
  <c r="G43" i="1"/>
  <c r="I42" i="1"/>
  <c r="J42" i="1" s="1"/>
  <c r="G42" i="1"/>
  <c r="I41" i="1"/>
  <c r="J41" i="1" s="1"/>
  <c r="G41" i="1"/>
  <c r="I40" i="1"/>
  <c r="J40" i="1" s="1"/>
  <c r="G40" i="1"/>
  <c r="I39" i="1"/>
  <c r="J39" i="1" s="1"/>
  <c r="G39" i="1"/>
  <c r="I38" i="1"/>
  <c r="J38" i="1" s="1"/>
  <c r="G38" i="1"/>
  <c r="I37" i="1"/>
  <c r="J37" i="1" s="1"/>
  <c r="G37" i="1"/>
  <c r="I36" i="1"/>
  <c r="J36" i="1" s="1"/>
  <c r="G36" i="1"/>
  <c r="G35" i="1"/>
  <c r="L31" i="1"/>
  <c r="L34" i="1" s="1"/>
  <c r="I35" i="1" s="1"/>
  <c r="J35" i="1" s="1"/>
  <c r="I30" i="1"/>
  <c r="J30" i="1" s="1"/>
  <c r="G30" i="1"/>
  <c r="I29" i="1"/>
  <c r="J29" i="1" s="1"/>
  <c r="G29" i="1"/>
  <c r="I28" i="1"/>
  <c r="J28" i="1" s="1"/>
  <c r="G28" i="1"/>
  <c r="I27" i="1"/>
  <c r="J27" i="1" s="1"/>
  <c r="G27" i="1"/>
  <c r="I26" i="1"/>
  <c r="J26" i="1" s="1"/>
  <c r="G26" i="1"/>
  <c r="I25" i="1"/>
  <c r="J25" i="1" s="1"/>
  <c r="G25" i="1"/>
  <c r="I24" i="1"/>
  <c r="J24" i="1" s="1"/>
  <c r="G24" i="1"/>
  <c r="I23" i="1"/>
  <c r="J23" i="1" s="1"/>
  <c r="G23" i="1"/>
  <c r="I22" i="1"/>
  <c r="J22" i="1" s="1"/>
  <c r="G22" i="1"/>
  <c r="I21" i="1"/>
  <c r="J21" i="1" s="1"/>
  <c r="G21" i="1"/>
  <c r="I20" i="1"/>
  <c r="J20" i="1" s="1"/>
  <c r="G20" i="1"/>
  <c r="I19" i="1"/>
  <c r="J19" i="1" s="1"/>
  <c r="G19" i="1"/>
  <c r="I18" i="1"/>
  <c r="J18" i="1" s="1"/>
  <c r="G18" i="1"/>
  <c r="I17" i="1"/>
  <c r="J17" i="1" s="1"/>
  <c r="G17" i="1"/>
  <c r="I16" i="1"/>
  <c r="J16" i="1" s="1"/>
  <c r="G16" i="1"/>
  <c r="I15" i="1"/>
  <c r="J15" i="1" s="1"/>
  <c r="G15" i="1"/>
  <c r="J14" i="1"/>
  <c r="G14" i="1"/>
  <c r="I13" i="1"/>
  <c r="J13" i="1" s="1"/>
  <c r="G13" i="1"/>
  <c r="I12" i="1"/>
  <c r="J12" i="1" s="1"/>
  <c r="G12" i="1"/>
  <c r="J11" i="1"/>
  <c r="I11" i="1"/>
  <c r="G11" i="1"/>
  <c r="K10" i="1"/>
  <c r="K11" i="1" s="1"/>
  <c r="I10" i="1"/>
  <c r="J10" i="1" s="1"/>
  <c r="G10" i="1"/>
  <c r="M9" i="1"/>
  <c r="K67" i="1" l="1"/>
  <c r="K12" i="1"/>
  <c r="M11" i="1"/>
  <c r="M10" i="1"/>
  <c r="K13" i="1" l="1"/>
  <c r="M12" i="1"/>
  <c r="K14" i="1" l="1"/>
  <c r="M13" i="1"/>
  <c r="M14" i="1" l="1"/>
  <c r="K15" i="1"/>
  <c r="K16" i="1" l="1"/>
  <c r="M15" i="1"/>
  <c r="K17" i="1" l="1"/>
  <c r="M16" i="1"/>
  <c r="K18" i="1" l="1"/>
  <c r="M17" i="1"/>
  <c r="K19" i="1" l="1"/>
  <c r="M18" i="1"/>
  <c r="K20" i="1" l="1"/>
  <c r="M19" i="1"/>
  <c r="K21" i="1" l="1"/>
  <c r="M20" i="1"/>
  <c r="M21" i="1" l="1"/>
  <c r="K22" i="1"/>
  <c r="K23" i="1" l="1"/>
  <c r="M22" i="1"/>
  <c r="M23" i="1" l="1"/>
  <c r="K24" i="1"/>
  <c r="K25" i="1" l="1"/>
  <c r="M24" i="1"/>
  <c r="K26" i="1" l="1"/>
  <c r="M25" i="1"/>
  <c r="M26" i="1" l="1"/>
  <c r="K27" i="1"/>
  <c r="K28" i="1" l="1"/>
  <c r="M27" i="1"/>
  <c r="M28" i="1" l="1"/>
  <c r="K29" i="1"/>
  <c r="K30" i="1" l="1"/>
  <c r="M29" i="1"/>
  <c r="K31" i="1" l="1"/>
  <c r="K34" i="1" s="1"/>
  <c r="K35" i="1" s="1"/>
  <c r="M30" i="1"/>
  <c r="M31" i="1" s="1"/>
  <c r="M34" i="1" s="1"/>
  <c r="K36" i="1" l="1"/>
  <c r="M35" i="1"/>
  <c r="M36" i="1" l="1"/>
  <c r="K37" i="1"/>
  <c r="K38" i="1" l="1"/>
  <c r="M37" i="1"/>
  <c r="M38" i="1" l="1"/>
  <c r="K39" i="1"/>
  <c r="K40" i="1" l="1"/>
  <c r="M39" i="1"/>
  <c r="K41" i="1" l="1"/>
  <c r="M40" i="1"/>
  <c r="M41" i="1" l="1"/>
  <c r="K42" i="1"/>
  <c r="M42" i="1" l="1"/>
  <c r="K43" i="1"/>
  <c r="M43" i="1" l="1"/>
  <c r="K44" i="1"/>
  <c r="K45" i="1" l="1"/>
  <c r="M44" i="1"/>
  <c r="M45" i="1" l="1"/>
  <c r="K46" i="1"/>
  <c r="K47" i="1" l="1"/>
  <c r="M46" i="1"/>
  <c r="K48" i="1" l="1"/>
  <c r="M47" i="1"/>
  <c r="M48" i="1" l="1"/>
  <c r="K49" i="1"/>
  <c r="K50" i="1" l="1"/>
  <c r="M49" i="1"/>
  <c r="M50" i="1" l="1"/>
  <c r="K51" i="1"/>
  <c r="K52" i="1" l="1"/>
  <c r="M51" i="1"/>
  <c r="K53" i="1" l="1"/>
  <c r="M52" i="1"/>
  <c r="M53" i="1" l="1"/>
  <c r="K54" i="1"/>
  <c r="K55" i="1" l="1"/>
  <c r="M54" i="1"/>
  <c r="M55" i="1" l="1"/>
  <c r="K56" i="1"/>
  <c r="K57" i="1" l="1"/>
  <c r="M56" i="1"/>
  <c r="M57" i="1" l="1"/>
  <c r="K58" i="1"/>
  <c r="K59" i="1" l="1"/>
  <c r="M58" i="1"/>
  <c r="K60" i="1" l="1"/>
  <c r="M59" i="1"/>
  <c r="M60" i="1" l="1"/>
  <c r="K61" i="1"/>
  <c r="K62" i="1" l="1"/>
  <c r="M61" i="1"/>
  <c r="K63" i="1" l="1"/>
  <c r="M62" i="1"/>
  <c r="K64" i="1" l="1"/>
  <c r="M63" i="1"/>
  <c r="K65" i="1" l="1"/>
  <c r="M64" i="1"/>
  <c r="M65" i="1" l="1"/>
  <c r="K66" i="1"/>
  <c r="M66" i="1" l="1"/>
</calcChain>
</file>

<file path=xl/sharedStrings.xml><?xml version="1.0" encoding="utf-8"?>
<sst xmlns="http://schemas.openxmlformats.org/spreadsheetml/2006/main" count="151" uniqueCount="79">
  <si>
    <t>Unidad Ejecutora</t>
  </si>
  <si>
    <t>Hospital Regional de El Quiché</t>
  </si>
  <si>
    <t>Numero de Tarjeta</t>
  </si>
  <si>
    <t>Niveles de seguridad</t>
  </si>
  <si>
    <t>Mínimo</t>
  </si>
  <si>
    <t>Máximo</t>
  </si>
  <si>
    <t>Renglón del producto</t>
  </si>
  <si>
    <t>Nombre del Producto</t>
  </si>
  <si>
    <t>ACETAMINOFEN 500mg - Tableta</t>
  </si>
  <si>
    <t>FECHA</t>
  </si>
  <si>
    <t>DOCUMENTO DE RESPALDO</t>
  </si>
  <si>
    <t>DESCRIPCIÓN</t>
  </si>
  <si>
    <t>UNIDAD DE MEDIDA</t>
  </si>
  <si>
    <t>ENTRADAS</t>
  </si>
  <si>
    <t>SALIDAS</t>
  </si>
  <si>
    <t>SALDOS</t>
  </si>
  <si>
    <t>CANTIDAD</t>
  </si>
  <si>
    <t>PRECIO UNITARIO</t>
  </si>
  <si>
    <t>VALOR Q.</t>
  </si>
  <si>
    <t>VIENE DE TARJETA  8512</t>
  </si>
  <si>
    <t>Tableta</t>
  </si>
  <si>
    <t>R136</t>
  </si>
  <si>
    <t>Consolidado</t>
  </si>
  <si>
    <t>R137</t>
  </si>
  <si>
    <t>1-3/8/2025</t>
  </si>
  <si>
    <t>R138</t>
  </si>
  <si>
    <t>R140</t>
  </si>
  <si>
    <t>R141</t>
  </si>
  <si>
    <t>R142</t>
  </si>
  <si>
    <t>despacho bodega de farmacia</t>
  </si>
  <si>
    <t>8-10/8/2025</t>
  </si>
  <si>
    <t>R143</t>
  </si>
  <si>
    <t>R144</t>
  </si>
  <si>
    <t>R145</t>
  </si>
  <si>
    <t>R146</t>
  </si>
  <si>
    <t>14-17/8/2025</t>
  </si>
  <si>
    <t>R147</t>
  </si>
  <si>
    <t>18-19/8/2025</t>
  </si>
  <si>
    <t>R148</t>
  </si>
  <si>
    <t>R149</t>
  </si>
  <si>
    <t>R150</t>
  </si>
  <si>
    <t>22-24/8/2025</t>
  </si>
  <si>
    <t>R151</t>
  </si>
  <si>
    <t>R152</t>
  </si>
  <si>
    <t>R153</t>
  </si>
  <si>
    <t>R154</t>
  </si>
  <si>
    <t>VAN</t>
  </si>
  <si>
    <t>VIENEN</t>
  </si>
  <si>
    <t>29-31/8/2025</t>
  </si>
  <si>
    <t>R156</t>
  </si>
  <si>
    <t>R157</t>
  </si>
  <si>
    <t>R158</t>
  </si>
  <si>
    <t>R159</t>
  </si>
  <si>
    <t>4-7/9/2025</t>
  </si>
  <si>
    <t>R160</t>
  </si>
  <si>
    <t>R161</t>
  </si>
  <si>
    <t>R162</t>
  </si>
  <si>
    <t>R163</t>
  </si>
  <si>
    <t>R164</t>
  </si>
  <si>
    <t>12-15/9/2025</t>
  </si>
  <si>
    <t>R165</t>
  </si>
  <si>
    <t>R166</t>
  </si>
  <si>
    <t>R167</t>
  </si>
  <si>
    <t>R168</t>
  </si>
  <si>
    <t>19-21/9/2025</t>
  </si>
  <si>
    <t>R169</t>
  </si>
  <si>
    <t>R170</t>
  </si>
  <si>
    <t>R171</t>
  </si>
  <si>
    <t>R172</t>
  </si>
  <si>
    <t>R173</t>
  </si>
  <si>
    <t>26-28/9/2025</t>
  </si>
  <si>
    <t>R174</t>
  </si>
  <si>
    <t>R175</t>
  </si>
  <si>
    <t>R176</t>
  </si>
  <si>
    <t>R177</t>
  </si>
  <si>
    <t>R178</t>
  </si>
  <si>
    <t>3-6/10/2025</t>
  </si>
  <si>
    <t>R179</t>
  </si>
  <si>
    <t xml:space="preserve">VA A TARJETA No.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</si>
</sst>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_(* #,##0.00_);_(* \(#,##0.00\);_(* &quot;-&quot;??_);_(@_)"/>
  </numFmts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2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40"/>
      <color theme="1"/>
      <name val="Times New Roman"/>
      <family val="1"/>
    </font>
    <font>
      <b/>
      <sz val="25"/>
      <name val="Times New Roman"/>
      <family val="1"/>
    </font>
    <font>
      <b/>
      <sz val="15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i/>
      <sz val="15"/>
      <color theme="1"/>
      <name val="Times New Roman"/>
      <family val="1"/>
    </font>
    <font>
      <b/>
      <i/>
      <sz val="16"/>
      <color theme="1"/>
      <name val="Times New Roman"/>
      <family val="1"/>
    </font>
    <font>
      <b/>
      <i/>
      <sz val="16"/>
      <name val="Times New Roman"/>
      <family val="1"/>
    </font>
    <font>
      <b/>
      <i/>
      <sz val="3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64" fontId="9" fillId="0" borderId="0" applyFont="0" applyFill="0" applyBorder="0" applyAlignment="0" applyProtection="0"/>
  </cellStyleXfs>
  <cellXfs count="49">
    <xf numFmtId="0" fontId="0" fillId="0" borderId="0" xfId="0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4" fontId="4" fillId="0" borderId="2" xfId="0" applyNumberFormat="1" applyFont="1" applyBorder="1" applyAlignment="1">
      <alignment horizontal="center" vertical="center"/>
    </xf>
    <xf numFmtId="44" fontId="5" fillId="0" borderId="3" xfId="0" applyNumberFormat="1" applyFont="1" applyBorder="1" applyAlignment="1">
      <alignment horizontal="center" vertical="center"/>
    </xf>
    <xf numFmtId="44" fontId="5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4" fontId="5" fillId="0" borderId="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1" xfId="1" applyFont="1" applyBorder="1" applyAlignment="1" applyProtection="1">
      <alignment horizontal="center" vertical="center"/>
    </xf>
    <xf numFmtId="0" fontId="6" fillId="0" borderId="6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4" fontId="4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8" fillId="2" borderId="0" xfId="0" applyNumberFormat="1" applyFont="1" applyFill="1" applyAlignment="1" applyProtection="1">
      <alignment horizontal="center" vertical="center"/>
      <protection locked="0"/>
    </xf>
    <xf numFmtId="0" fontId="8" fillId="2" borderId="2" xfId="0" applyFont="1" applyFill="1" applyBorder="1" applyAlignment="1" applyProtection="1">
      <alignment horizontal="center" vertical="center"/>
      <protection locked="0"/>
    </xf>
    <xf numFmtId="0" fontId="8" fillId="2" borderId="2" xfId="0" applyFont="1" applyFill="1" applyBorder="1" applyAlignment="1">
      <alignment horizontal="center" vertical="center"/>
    </xf>
    <xf numFmtId="44" fontId="8" fillId="2" borderId="2" xfId="0" applyNumberFormat="1" applyFont="1" applyFill="1" applyBorder="1" applyAlignment="1" applyProtection="1">
      <alignment horizontal="center" vertical="center"/>
      <protection locked="0"/>
    </xf>
    <xf numFmtId="44" fontId="8" fillId="2" borderId="2" xfId="0" applyNumberFormat="1" applyFont="1" applyFill="1" applyBorder="1" applyAlignment="1">
      <alignment horizontal="center" vertical="center"/>
    </xf>
    <xf numFmtId="14" fontId="2" fillId="0" borderId="2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44" fontId="2" fillId="0" borderId="2" xfId="0" applyNumberFormat="1" applyFont="1" applyBorder="1" applyAlignment="1" applyProtection="1">
      <alignment horizontal="center" vertical="center"/>
      <protection locked="0"/>
    </xf>
    <xf numFmtId="4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4" fontId="10" fillId="0" borderId="2" xfId="2" applyNumberFormat="1" applyFont="1" applyFill="1" applyBorder="1" applyAlignment="1" applyProtection="1">
      <alignment horizontal="center" vertical="center"/>
    </xf>
    <xf numFmtId="14" fontId="2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2" borderId="2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44" fontId="11" fillId="2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4" borderId="2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 applyProtection="1">
      <alignment horizontal="center" vertical="center"/>
      <protection locked="0"/>
    </xf>
    <xf numFmtId="0" fontId="12" fillId="2" borderId="2" xfId="0" applyFont="1" applyFill="1" applyBorder="1" applyAlignment="1">
      <alignment horizontal="center" vertical="center"/>
    </xf>
    <xf numFmtId="44" fontId="12" fillId="2" borderId="2" xfId="0" applyNumberFormat="1" applyFont="1" applyFill="1" applyBorder="1" applyAlignment="1">
      <alignment horizontal="center" vertical="center"/>
    </xf>
    <xf numFmtId="44" fontId="13" fillId="2" borderId="2" xfId="2" applyNumberFormat="1" applyFont="1" applyFill="1" applyBorder="1" applyAlignment="1" applyProtection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44" fontId="14" fillId="0" borderId="2" xfId="0" applyNumberFormat="1" applyFont="1" applyBorder="1" applyAlignment="1">
      <alignment horizontal="center" vertical="center"/>
    </xf>
  </cellXfs>
  <cellStyles count="3">
    <cellStyle name="Hipervínculo" xfId="1" builtinId="8"/>
    <cellStyle name="Millares 2" xfId="2" xr:uid="{2F7E7A99-0DD4-4A96-8AF2-4C3F0BBAB967}"/>
    <cellStyle name="Normal" xfId="0" builtinId="0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usuario/Desktop/TARJETAS%20KARDEX/0%20MENU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56EA-80BC-4B99-B76B-3850126B3423}">
  <dimension ref="A1:M132"/>
  <sheetViews>
    <sheetView tabSelected="1" workbookViewId="0">
      <selection activeCell="D7" sqref="D7:D8"/>
    </sheetView>
  </sheetViews>
  <sheetFormatPr baseColWidth="10" defaultColWidth="0" defaultRowHeight="0" zeroHeight="1" x14ac:dyDescent="0.25"/>
  <cols>
    <col min="1" max="1" width="18.7109375" style="1" customWidth="1"/>
    <col min="2" max="2" width="18.7109375" style="2" customWidth="1"/>
    <col min="3" max="3" width="40.7109375" style="2" customWidth="1"/>
    <col min="4" max="4" width="18.7109375" style="2" customWidth="1"/>
    <col min="5" max="5" width="15.7109375" style="2" customWidth="1"/>
    <col min="6" max="7" width="15.7109375" style="3" customWidth="1"/>
    <col min="8" max="8" width="15.7109375" style="2" customWidth="1"/>
    <col min="9" max="10" width="15.7109375" style="3" customWidth="1"/>
    <col min="11" max="11" width="16.7109375" style="2" customWidth="1"/>
    <col min="12" max="13" width="16.7109375" style="3" customWidth="1"/>
    <col min="14" max="16384" width="11.42578125" style="4" hidden="1"/>
  </cols>
  <sheetData>
    <row r="1" spans="1:13" ht="23.1" customHeight="1" x14ac:dyDescent="0.25">
      <c r="A1" s="5" t="s">
        <v>0</v>
      </c>
      <c r="B1" s="5"/>
      <c r="C1" s="6" t="s">
        <v>1</v>
      </c>
      <c r="D1" s="6"/>
      <c r="E1" s="6"/>
      <c r="F1" s="6"/>
      <c r="G1" s="6"/>
      <c r="J1" s="7" t="s">
        <v>2</v>
      </c>
      <c r="K1" s="7"/>
      <c r="L1" s="8" t="s">
        <v>3</v>
      </c>
      <c r="M1" s="9"/>
    </row>
    <row r="2" spans="1:13" ht="15.75" customHeight="1" x14ac:dyDescent="0.25">
      <c r="C2" s="10"/>
      <c r="D2" s="10"/>
      <c r="E2" s="10"/>
      <c r="F2" s="11"/>
      <c r="G2" s="11"/>
      <c r="J2" s="7"/>
      <c r="K2" s="7"/>
      <c r="L2" s="12" t="s">
        <v>4</v>
      </c>
      <c r="M2" s="12" t="s">
        <v>5</v>
      </c>
    </row>
    <row r="3" spans="1:13" ht="21.75" customHeight="1" x14ac:dyDescent="0.25">
      <c r="A3" s="5" t="s">
        <v>6</v>
      </c>
      <c r="B3" s="5"/>
      <c r="C3" s="6">
        <v>266</v>
      </c>
      <c r="D3" s="6"/>
      <c r="E3" s="6"/>
      <c r="F3" s="6"/>
      <c r="G3" s="6"/>
      <c r="J3" s="13">
        <v>9171</v>
      </c>
      <c r="K3" s="13"/>
      <c r="L3" s="14"/>
      <c r="M3" s="14"/>
    </row>
    <row r="4" spans="1:13" ht="23.1" customHeight="1" x14ac:dyDescent="0.25">
      <c r="C4" s="10"/>
      <c r="D4" s="10"/>
      <c r="E4" s="10"/>
      <c r="F4" s="11"/>
      <c r="G4" s="11"/>
      <c r="J4" s="13"/>
      <c r="K4" s="13"/>
      <c r="L4" s="15">
        <v>3</v>
      </c>
      <c r="M4" s="15">
        <v>6</v>
      </c>
    </row>
    <row r="5" spans="1:13" ht="25.5" customHeight="1" x14ac:dyDescent="0.25">
      <c r="A5" s="5" t="s">
        <v>7</v>
      </c>
      <c r="B5" s="5"/>
      <c r="C5" s="16" t="s">
        <v>8</v>
      </c>
      <c r="D5" s="16"/>
      <c r="E5" s="16"/>
      <c r="F5" s="16"/>
      <c r="G5" s="16"/>
      <c r="J5" s="13"/>
      <c r="K5" s="13"/>
      <c r="L5" s="17"/>
      <c r="M5" s="17"/>
    </row>
    <row r="6" spans="1:13" ht="23.1" customHeight="1" x14ac:dyDescent="0.25"/>
    <row r="7" spans="1:13" ht="23.1" customHeight="1" x14ac:dyDescent="0.25">
      <c r="A7" s="18" t="s">
        <v>9</v>
      </c>
      <c r="B7" s="19" t="s">
        <v>10</v>
      </c>
      <c r="C7" s="19" t="s">
        <v>11</v>
      </c>
      <c r="D7" s="19" t="s">
        <v>12</v>
      </c>
      <c r="E7" s="20" t="s">
        <v>13</v>
      </c>
      <c r="F7" s="20"/>
      <c r="G7" s="20"/>
      <c r="H7" s="20" t="s">
        <v>14</v>
      </c>
      <c r="I7" s="20"/>
      <c r="J7" s="20"/>
      <c r="K7" s="20" t="s">
        <v>15</v>
      </c>
      <c r="L7" s="20"/>
      <c r="M7" s="20"/>
    </row>
    <row r="8" spans="1:13" s="23" customFormat="1" ht="45.95" customHeight="1" x14ac:dyDescent="0.25">
      <c r="A8" s="18"/>
      <c r="B8" s="19"/>
      <c r="C8" s="19"/>
      <c r="D8" s="19"/>
      <c r="E8" s="21" t="s">
        <v>16</v>
      </c>
      <c r="F8" s="22" t="s">
        <v>17</v>
      </c>
      <c r="G8" s="22" t="s">
        <v>18</v>
      </c>
      <c r="H8" s="21" t="s">
        <v>16</v>
      </c>
      <c r="I8" s="22" t="s">
        <v>17</v>
      </c>
      <c r="J8" s="22" t="s">
        <v>18</v>
      </c>
      <c r="K8" s="21" t="s">
        <v>16</v>
      </c>
      <c r="L8" s="22" t="s">
        <v>17</v>
      </c>
      <c r="M8" s="22" t="s">
        <v>18</v>
      </c>
    </row>
    <row r="9" spans="1:13" ht="21.75" customHeight="1" x14ac:dyDescent="0.25">
      <c r="A9" s="24"/>
      <c r="B9" s="25"/>
      <c r="C9" s="26" t="s">
        <v>19</v>
      </c>
      <c r="D9" s="25" t="s">
        <v>20</v>
      </c>
      <c r="E9" s="25"/>
      <c r="F9" s="27"/>
      <c r="G9" s="27"/>
      <c r="H9" s="26"/>
      <c r="I9" s="28"/>
      <c r="J9" s="28"/>
      <c r="K9" s="25">
        <v>191</v>
      </c>
      <c r="L9" s="27">
        <v>0.05</v>
      </c>
      <c r="M9" s="27">
        <f>K9*L9</f>
        <v>9.5500000000000007</v>
      </c>
    </row>
    <row r="10" spans="1:13" ht="21.95" customHeight="1" x14ac:dyDescent="0.25">
      <c r="A10" s="29">
        <v>45868</v>
      </c>
      <c r="B10" s="30" t="s">
        <v>21</v>
      </c>
      <c r="C10" s="30" t="s">
        <v>22</v>
      </c>
      <c r="D10" s="30"/>
      <c r="E10" s="30"/>
      <c r="F10" s="31"/>
      <c r="G10" s="32">
        <f>E10*F10</f>
        <v>0</v>
      </c>
      <c r="H10" s="30">
        <v>24</v>
      </c>
      <c r="I10" s="32">
        <f>L9</f>
        <v>0.05</v>
      </c>
      <c r="J10" s="32">
        <f>H10*I10</f>
        <v>1.2000000000000002</v>
      </c>
      <c r="K10" s="33">
        <f>K9+E10-H10</f>
        <v>167</v>
      </c>
      <c r="L10" s="32">
        <v>0.05</v>
      </c>
      <c r="M10" s="34">
        <f>K10*L10</f>
        <v>8.35</v>
      </c>
    </row>
    <row r="11" spans="1:13" ht="21.95" customHeight="1" x14ac:dyDescent="0.25">
      <c r="A11" s="29">
        <v>45869</v>
      </c>
      <c r="B11" s="30" t="s">
        <v>23</v>
      </c>
      <c r="C11" s="30" t="s">
        <v>22</v>
      </c>
      <c r="D11" s="30"/>
      <c r="E11" s="30"/>
      <c r="F11" s="31"/>
      <c r="G11" s="32">
        <f t="shared" ref="G11:G30" si="0">E11*F11</f>
        <v>0</v>
      </c>
      <c r="H11" s="30">
        <v>5</v>
      </c>
      <c r="I11" s="32">
        <f t="shared" ref="I11:I30" si="1">L10</f>
        <v>0.05</v>
      </c>
      <c r="J11" s="32">
        <f t="shared" ref="J11:J26" si="2">H11*I11</f>
        <v>0.25</v>
      </c>
      <c r="K11" s="33">
        <f t="shared" ref="K11:K26" si="3">K10+E11-H11</f>
        <v>162</v>
      </c>
      <c r="L11" s="32">
        <v>0.05</v>
      </c>
      <c r="M11" s="34">
        <f t="shared" ref="M11:M24" si="4">K11*L11</f>
        <v>8.1</v>
      </c>
    </row>
    <row r="12" spans="1:13" ht="21.95" customHeight="1" x14ac:dyDescent="0.25">
      <c r="A12" s="29" t="s">
        <v>24</v>
      </c>
      <c r="B12" s="30" t="s">
        <v>25</v>
      </c>
      <c r="C12" s="30" t="s">
        <v>22</v>
      </c>
      <c r="D12" s="30"/>
      <c r="E12" s="30"/>
      <c r="F12" s="31"/>
      <c r="G12" s="32">
        <f t="shared" si="0"/>
        <v>0</v>
      </c>
      <c r="H12" s="30">
        <v>8</v>
      </c>
      <c r="I12" s="32">
        <f t="shared" si="1"/>
        <v>0.05</v>
      </c>
      <c r="J12" s="32">
        <f t="shared" si="2"/>
        <v>0.4</v>
      </c>
      <c r="K12" s="33">
        <f t="shared" si="3"/>
        <v>154</v>
      </c>
      <c r="L12" s="32">
        <v>0.05</v>
      </c>
      <c r="M12" s="34">
        <f t="shared" si="4"/>
        <v>7.7</v>
      </c>
    </row>
    <row r="13" spans="1:13" ht="21.95" customHeight="1" x14ac:dyDescent="0.25">
      <c r="A13" s="29">
        <v>45874</v>
      </c>
      <c r="B13" s="30" t="s">
        <v>26</v>
      </c>
      <c r="C13" s="30" t="s">
        <v>22</v>
      </c>
      <c r="D13" s="30"/>
      <c r="E13" s="30"/>
      <c r="F13" s="31"/>
      <c r="G13" s="32">
        <f t="shared" si="0"/>
        <v>0</v>
      </c>
      <c r="H13" s="30">
        <v>16</v>
      </c>
      <c r="I13" s="32">
        <f t="shared" si="1"/>
        <v>0.05</v>
      </c>
      <c r="J13" s="32">
        <f t="shared" si="2"/>
        <v>0.8</v>
      </c>
      <c r="K13" s="33">
        <f t="shared" si="3"/>
        <v>138</v>
      </c>
      <c r="L13" s="32">
        <v>0.05</v>
      </c>
      <c r="M13" s="34">
        <f t="shared" si="4"/>
        <v>6.9</v>
      </c>
    </row>
    <row r="14" spans="1:13" ht="21.95" customHeight="1" x14ac:dyDescent="0.25">
      <c r="A14" s="29">
        <v>45875</v>
      </c>
      <c r="B14" s="30" t="s">
        <v>27</v>
      </c>
      <c r="C14" s="30" t="s">
        <v>22</v>
      </c>
      <c r="D14" s="30"/>
      <c r="E14" s="30"/>
      <c r="F14" s="31"/>
      <c r="G14" s="32">
        <f t="shared" si="0"/>
        <v>0</v>
      </c>
      <c r="H14" s="30">
        <v>5</v>
      </c>
      <c r="I14" s="32">
        <v>0.05</v>
      </c>
      <c r="J14" s="32">
        <f t="shared" si="2"/>
        <v>0.25</v>
      </c>
      <c r="K14" s="33">
        <f t="shared" si="3"/>
        <v>133</v>
      </c>
      <c r="L14" s="32">
        <v>0.05</v>
      </c>
      <c r="M14" s="34">
        <f t="shared" si="4"/>
        <v>6.65</v>
      </c>
    </row>
    <row r="15" spans="1:13" ht="21.95" customHeight="1" x14ac:dyDescent="0.25">
      <c r="A15" s="29">
        <v>45876</v>
      </c>
      <c r="B15" s="30" t="s">
        <v>28</v>
      </c>
      <c r="C15" s="30" t="s">
        <v>22</v>
      </c>
      <c r="D15" s="30"/>
      <c r="E15" s="30"/>
      <c r="F15" s="31"/>
      <c r="G15" s="32">
        <f t="shared" si="0"/>
        <v>0</v>
      </c>
      <c r="H15" s="30">
        <v>8</v>
      </c>
      <c r="I15" s="32">
        <f t="shared" si="1"/>
        <v>0.05</v>
      </c>
      <c r="J15" s="32">
        <f t="shared" si="2"/>
        <v>0.4</v>
      </c>
      <c r="K15" s="33">
        <f t="shared" si="3"/>
        <v>125</v>
      </c>
      <c r="L15" s="32">
        <v>0.05</v>
      </c>
      <c r="M15" s="34">
        <f t="shared" si="4"/>
        <v>6.25</v>
      </c>
    </row>
    <row r="16" spans="1:13" ht="21.95" customHeight="1" x14ac:dyDescent="0.25">
      <c r="A16" s="29">
        <v>45877</v>
      </c>
      <c r="B16" s="30">
        <v>56173</v>
      </c>
      <c r="C16" s="30" t="s">
        <v>29</v>
      </c>
      <c r="D16" s="30"/>
      <c r="E16" s="30">
        <v>100</v>
      </c>
      <c r="F16" s="31">
        <v>0.05</v>
      </c>
      <c r="G16" s="32">
        <f t="shared" si="0"/>
        <v>5</v>
      </c>
      <c r="H16" s="30"/>
      <c r="I16" s="32">
        <f t="shared" si="1"/>
        <v>0.05</v>
      </c>
      <c r="J16" s="32">
        <f t="shared" si="2"/>
        <v>0</v>
      </c>
      <c r="K16" s="33">
        <f t="shared" si="3"/>
        <v>225</v>
      </c>
      <c r="L16" s="32">
        <v>0.05</v>
      </c>
      <c r="M16" s="34">
        <f t="shared" si="4"/>
        <v>11.25</v>
      </c>
    </row>
    <row r="17" spans="1:13" ht="21.95" customHeight="1" x14ac:dyDescent="0.25">
      <c r="A17" s="29" t="s">
        <v>30</v>
      </c>
      <c r="B17" s="30" t="s">
        <v>31</v>
      </c>
      <c r="C17" s="30" t="s">
        <v>22</v>
      </c>
      <c r="D17" s="30"/>
      <c r="E17" s="30"/>
      <c r="F17" s="31"/>
      <c r="G17" s="32">
        <f t="shared" si="0"/>
        <v>0</v>
      </c>
      <c r="H17" s="30">
        <v>47</v>
      </c>
      <c r="I17" s="32">
        <f t="shared" si="1"/>
        <v>0.05</v>
      </c>
      <c r="J17" s="32">
        <f t="shared" si="2"/>
        <v>2.35</v>
      </c>
      <c r="K17" s="33">
        <f t="shared" si="3"/>
        <v>178</v>
      </c>
      <c r="L17" s="32">
        <v>0.05</v>
      </c>
      <c r="M17" s="34">
        <f t="shared" si="4"/>
        <v>8.9</v>
      </c>
    </row>
    <row r="18" spans="1:13" ht="21.95" customHeight="1" x14ac:dyDescent="0.25">
      <c r="A18" s="29">
        <v>45880</v>
      </c>
      <c r="B18" s="30">
        <v>56176</v>
      </c>
      <c r="C18" s="30" t="s">
        <v>29</v>
      </c>
      <c r="D18" s="30"/>
      <c r="E18" s="30">
        <v>300</v>
      </c>
      <c r="F18" s="31">
        <v>0.05</v>
      </c>
      <c r="G18" s="32">
        <f t="shared" si="0"/>
        <v>15</v>
      </c>
      <c r="H18" s="30"/>
      <c r="I18" s="32">
        <f t="shared" si="1"/>
        <v>0.05</v>
      </c>
      <c r="J18" s="32">
        <f t="shared" si="2"/>
        <v>0</v>
      </c>
      <c r="K18" s="33">
        <f t="shared" si="3"/>
        <v>478</v>
      </c>
      <c r="L18" s="32">
        <v>0.05</v>
      </c>
      <c r="M18" s="34">
        <f t="shared" si="4"/>
        <v>23.900000000000002</v>
      </c>
    </row>
    <row r="19" spans="1:13" ht="21.95" customHeight="1" x14ac:dyDescent="0.25">
      <c r="A19" s="29">
        <v>45880</v>
      </c>
      <c r="B19" s="30" t="s">
        <v>32</v>
      </c>
      <c r="C19" s="30" t="s">
        <v>22</v>
      </c>
      <c r="D19" s="30"/>
      <c r="E19" s="30"/>
      <c r="F19" s="31"/>
      <c r="G19" s="32">
        <f t="shared" si="0"/>
        <v>0</v>
      </c>
      <c r="H19" s="30">
        <v>4</v>
      </c>
      <c r="I19" s="32">
        <f t="shared" si="1"/>
        <v>0.05</v>
      </c>
      <c r="J19" s="32">
        <f t="shared" si="2"/>
        <v>0.2</v>
      </c>
      <c r="K19" s="33">
        <f t="shared" si="3"/>
        <v>474</v>
      </c>
      <c r="L19" s="32">
        <v>0.05</v>
      </c>
      <c r="M19" s="34">
        <f>K19*L19</f>
        <v>23.700000000000003</v>
      </c>
    </row>
    <row r="20" spans="1:13" ht="21.95" customHeight="1" x14ac:dyDescent="0.25">
      <c r="A20" s="29">
        <v>45881</v>
      </c>
      <c r="B20" s="30" t="s">
        <v>33</v>
      </c>
      <c r="C20" s="30" t="s">
        <v>22</v>
      </c>
      <c r="D20" s="30"/>
      <c r="E20" s="30"/>
      <c r="F20" s="31"/>
      <c r="G20" s="32">
        <f t="shared" si="0"/>
        <v>0</v>
      </c>
      <c r="H20" s="30">
        <v>8</v>
      </c>
      <c r="I20" s="32">
        <f t="shared" si="1"/>
        <v>0.05</v>
      </c>
      <c r="J20" s="32">
        <f t="shared" si="2"/>
        <v>0.4</v>
      </c>
      <c r="K20" s="33">
        <f t="shared" si="3"/>
        <v>466</v>
      </c>
      <c r="L20" s="32">
        <v>0.05</v>
      </c>
      <c r="M20" s="34">
        <f t="shared" si="4"/>
        <v>23.3</v>
      </c>
    </row>
    <row r="21" spans="1:13" ht="21.95" customHeight="1" x14ac:dyDescent="0.25">
      <c r="A21" s="29">
        <v>45882</v>
      </c>
      <c r="B21" s="30" t="s">
        <v>34</v>
      </c>
      <c r="C21" s="30" t="s">
        <v>22</v>
      </c>
      <c r="D21" s="30"/>
      <c r="E21" s="30"/>
      <c r="F21" s="31"/>
      <c r="G21" s="32">
        <f t="shared" si="0"/>
        <v>0</v>
      </c>
      <c r="H21" s="30">
        <v>8</v>
      </c>
      <c r="I21" s="32">
        <f t="shared" si="1"/>
        <v>0.05</v>
      </c>
      <c r="J21" s="32">
        <f t="shared" si="2"/>
        <v>0.4</v>
      </c>
      <c r="K21" s="33">
        <f t="shared" si="3"/>
        <v>458</v>
      </c>
      <c r="L21" s="32">
        <v>0.05</v>
      </c>
      <c r="M21" s="34">
        <f t="shared" si="4"/>
        <v>22.900000000000002</v>
      </c>
    </row>
    <row r="22" spans="1:13" ht="21.95" customHeight="1" x14ac:dyDescent="0.25">
      <c r="A22" s="29" t="s">
        <v>35</v>
      </c>
      <c r="B22" s="30" t="s">
        <v>36</v>
      </c>
      <c r="C22" s="30" t="s">
        <v>22</v>
      </c>
      <c r="D22" s="30"/>
      <c r="E22" s="30"/>
      <c r="F22" s="31"/>
      <c r="G22" s="32">
        <f t="shared" si="0"/>
        <v>0</v>
      </c>
      <c r="H22" s="30">
        <v>73</v>
      </c>
      <c r="I22" s="32">
        <f t="shared" si="1"/>
        <v>0.05</v>
      </c>
      <c r="J22" s="32">
        <f t="shared" si="2"/>
        <v>3.6500000000000004</v>
      </c>
      <c r="K22" s="33">
        <f t="shared" si="3"/>
        <v>385</v>
      </c>
      <c r="L22" s="32">
        <v>0.05</v>
      </c>
      <c r="M22" s="34">
        <f t="shared" si="4"/>
        <v>19.25</v>
      </c>
    </row>
    <row r="23" spans="1:13" ht="21.95" customHeight="1" x14ac:dyDescent="0.25">
      <c r="A23" s="29" t="s">
        <v>37</v>
      </c>
      <c r="B23" s="30" t="s">
        <v>38</v>
      </c>
      <c r="C23" s="30" t="s">
        <v>22</v>
      </c>
      <c r="D23" s="30"/>
      <c r="E23" s="30"/>
      <c r="F23" s="31"/>
      <c r="G23" s="32">
        <f t="shared" si="0"/>
        <v>0</v>
      </c>
      <c r="H23" s="30">
        <v>17</v>
      </c>
      <c r="I23" s="32">
        <f t="shared" si="1"/>
        <v>0.05</v>
      </c>
      <c r="J23" s="32">
        <f t="shared" si="2"/>
        <v>0.85000000000000009</v>
      </c>
      <c r="K23" s="33">
        <f t="shared" si="3"/>
        <v>368</v>
      </c>
      <c r="L23" s="32">
        <v>0.05</v>
      </c>
      <c r="M23" s="34">
        <f t="shared" si="4"/>
        <v>18.400000000000002</v>
      </c>
    </row>
    <row r="24" spans="1:13" ht="21.95" customHeight="1" x14ac:dyDescent="0.25">
      <c r="A24" s="29">
        <v>45889</v>
      </c>
      <c r="B24" s="30" t="s">
        <v>39</v>
      </c>
      <c r="C24" s="30" t="s">
        <v>22</v>
      </c>
      <c r="D24" s="30"/>
      <c r="E24" s="30"/>
      <c r="F24" s="31"/>
      <c r="G24" s="32">
        <f t="shared" si="0"/>
        <v>0</v>
      </c>
      <c r="H24" s="30">
        <v>16</v>
      </c>
      <c r="I24" s="32">
        <f t="shared" si="1"/>
        <v>0.05</v>
      </c>
      <c r="J24" s="32">
        <f t="shared" si="2"/>
        <v>0.8</v>
      </c>
      <c r="K24" s="33">
        <f t="shared" si="3"/>
        <v>352</v>
      </c>
      <c r="L24" s="32">
        <v>0.05</v>
      </c>
      <c r="M24" s="34">
        <f t="shared" si="4"/>
        <v>17.600000000000001</v>
      </c>
    </row>
    <row r="25" spans="1:13" ht="21.95" customHeight="1" x14ac:dyDescent="0.25">
      <c r="A25" s="29">
        <v>45890</v>
      </c>
      <c r="B25" s="30" t="s">
        <v>40</v>
      </c>
      <c r="C25" s="30" t="s">
        <v>22</v>
      </c>
      <c r="D25" s="30"/>
      <c r="E25" s="30"/>
      <c r="F25" s="31"/>
      <c r="G25" s="32">
        <f t="shared" si="0"/>
        <v>0</v>
      </c>
      <c r="H25" s="30">
        <v>12</v>
      </c>
      <c r="I25" s="32">
        <f t="shared" si="1"/>
        <v>0.05</v>
      </c>
      <c r="J25" s="32">
        <f t="shared" si="2"/>
        <v>0.60000000000000009</v>
      </c>
      <c r="K25" s="33">
        <f t="shared" si="3"/>
        <v>340</v>
      </c>
      <c r="L25" s="32">
        <v>0.05</v>
      </c>
      <c r="M25" s="34">
        <f>K25*L25</f>
        <v>17</v>
      </c>
    </row>
    <row r="26" spans="1:13" ht="21.95" customHeight="1" x14ac:dyDescent="0.25">
      <c r="A26" s="29">
        <v>45891</v>
      </c>
      <c r="B26" s="30">
        <v>56184</v>
      </c>
      <c r="C26" s="30" t="s">
        <v>29</v>
      </c>
      <c r="D26" s="30"/>
      <c r="E26" s="30">
        <v>100</v>
      </c>
      <c r="F26" s="31">
        <v>0.05</v>
      </c>
      <c r="G26" s="32">
        <f t="shared" si="0"/>
        <v>5</v>
      </c>
      <c r="H26" s="30"/>
      <c r="I26" s="32">
        <f t="shared" si="1"/>
        <v>0.05</v>
      </c>
      <c r="J26" s="32">
        <f t="shared" si="2"/>
        <v>0</v>
      </c>
      <c r="K26" s="33">
        <f t="shared" si="3"/>
        <v>440</v>
      </c>
      <c r="L26" s="32">
        <v>0.05</v>
      </c>
      <c r="M26" s="34">
        <f>K26*L26</f>
        <v>22</v>
      </c>
    </row>
    <row r="27" spans="1:13" ht="21.95" customHeight="1" x14ac:dyDescent="0.25">
      <c r="A27" s="29" t="s">
        <v>41</v>
      </c>
      <c r="B27" s="30" t="s">
        <v>42</v>
      </c>
      <c r="C27" s="30" t="s">
        <v>22</v>
      </c>
      <c r="D27" s="30"/>
      <c r="E27" s="30"/>
      <c r="F27" s="31"/>
      <c r="G27" s="32">
        <f t="shared" si="0"/>
        <v>0</v>
      </c>
      <c r="H27" s="30">
        <v>14</v>
      </c>
      <c r="I27" s="32">
        <f t="shared" si="1"/>
        <v>0.05</v>
      </c>
      <c r="J27" s="32">
        <f>H27*I27</f>
        <v>0.70000000000000007</v>
      </c>
      <c r="K27" s="33">
        <f>K26+E27-H27</f>
        <v>426</v>
      </c>
      <c r="L27" s="32">
        <v>0.05</v>
      </c>
      <c r="M27" s="34">
        <f t="shared" ref="M27:M30" si="5">K27*L27</f>
        <v>21.3</v>
      </c>
    </row>
    <row r="28" spans="1:13" ht="21.95" customHeight="1" x14ac:dyDescent="0.25">
      <c r="A28" s="35">
        <v>45894</v>
      </c>
      <c r="B28" s="30" t="s">
        <v>43</v>
      </c>
      <c r="C28" s="30" t="s">
        <v>22</v>
      </c>
      <c r="D28" s="30"/>
      <c r="E28" s="30"/>
      <c r="F28" s="31"/>
      <c r="G28" s="32">
        <f t="shared" si="0"/>
        <v>0</v>
      </c>
      <c r="H28" s="30">
        <v>6</v>
      </c>
      <c r="I28" s="32">
        <f t="shared" si="1"/>
        <v>0.05</v>
      </c>
      <c r="J28" s="32">
        <f>H28*I28</f>
        <v>0.30000000000000004</v>
      </c>
      <c r="K28" s="33">
        <f>K27+E28-H28</f>
        <v>420</v>
      </c>
      <c r="L28" s="32">
        <v>0.05</v>
      </c>
      <c r="M28" s="34">
        <f t="shared" si="5"/>
        <v>21</v>
      </c>
    </row>
    <row r="29" spans="1:13" ht="21.95" customHeight="1" x14ac:dyDescent="0.25">
      <c r="A29" s="29">
        <v>45895</v>
      </c>
      <c r="B29" s="30" t="s">
        <v>44</v>
      </c>
      <c r="C29" s="30" t="s">
        <v>22</v>
      </c>
      <c r="D29" s="30"/>
      <c r="E29" s="30"/>
      <c r="F29" s="31"/>
      <c r="G29" s="32">
        <f t="shared" si="0"/>
        <v>0</v>
      </c>
      <c r="H29" s="30">
        <v>2</v>
      </c>
      <c r="I29" s="32">
        <f t="shared" si="1"/>
        <v>0.05</v>
      </c>
      <c r="J29" s="32">
        <f>H29*I29</f>
        <v>0.1</v>
      </c>
      <c r="K29" s="33">
        <f>K28+E29-H29</f>
        <v>418</v>
      </c>
      <c r="L29" s="32">
        <v>0.05</v>
      </c>
      <c r="M29" s="34">
        <f t="shared" si="5"/>
        <v>20.900000000000002</v>
      </c>
    </row>
    <row r="30" spans="1:13" ht="21.95" customHeight="1" x14ac:dyDescent="0.25">
      <c r="A30" s="29">
        <v>45896</v>
      </c>
      <c r="B30" s="30" t="s">
        <v>45</v>
      </c>
      <c r="C30" s="30" t="s">
        <v>22</v>
      </c>
      <c r="D30" s="30"/>
      <c r="E30" s="30"/>
      <c r="F30" s="31"/>
      <c r="G30" s="32">
        <f t="shared" si="0"/>
        <v>0</v>
      </c>
      <c r="H30" s="30">
        <v>48</v>
      </c>
      <c r="I30" s="32">
        <f t="shared" si="1"/>
        <v>0.05</v>
      </c>
      <c r="J30" s="32">
        <f>H30*I30</f>
        <v>2.4000000000000004</v>
      </c>
      <c r="K30" s="33">
        <f>K29+E30-H30</f>
        <v>370</v>
      </c>
      <c r="L30" s="32">
        <v>0.05</v>
      </c>
      <c r="M30" s="34">
        <f t="shared" si="5"/>
        <v>18.5</v>
      </c>
    </row>
    <row r="31" spans="1:13" ht="21.75" customHeight="1" x14ac:dyDescent="0.25">
      <c r="A31" s="36"/>
      <c r="B31" s="37"/>
      <c r="C31" s="37" t="s">
        <v>46</v>
      </c>
      <c r="D31" s="37"/>
      <c r="E31" s="37"/>
      <c r="F31" s="38"/>
      <c r="G31" s="38"/>
      <c r="H31" s="37"/>
      <c r="I31" s="38"/>
      <c r="J31" s="38"/>
      <c r="K31" s="37">
        <f>K30</f>
        <v>370</v>
      </c>
      <c r="L31" s="38">
        <f>L30</f>
        <v>0.05</v>
      </c>
      <c r="M31" s="38">
        <f>M30</f>
        <v>18.5</v>
      </c>
    </row>
    <row r="32" spans="1:13" ht="23.1" customHeight="1" x14ac:dyDescent="0.25">
      <c r="A32" s="18" t="s">
        <v>9</v>
      </c>
      <c r="B32" s="19" t="s">
        <v>10</v>
      </c>
      <c r="C32" s="19" t="s">
        <v>11</v>
      </c>
      <c r="D32" s="19" t="s">
        <v>12</v>
      </c>
      <c r="E32" s="20" t="s">
        <v>13</v>
      </c>
      <c r="F32" s="20"/>
      <c r="G32" s="20"/>
      <c r="H32" s="20" t="s">
        <v>14</v>
      </c>
      <c r="I32" s="20"/>
      <c r="J32" s="20"/>
      <c r="K32" s="20" t="s">
        <v>15</v>
      </c>
      <c r="L32" s="20"/>
      <c r="M32" s="20"/>
    </row>
    <row r="33" spans="1:13" s="23" customFormat="1" ht="45.75" customHeight="1" x14ac:dyDescent="0.25">
      <c r="A33" s="18"/>
      <c r="B33" s="19"/>
      <c r="C33" s="19"/>
      <c r="D33" s="19"/>
      <c r="E33" s="21" t="s">
        <v>16</v>
      </c>
      <c r="F33" s="22" t="s">
        <v>17</v>
      </c>
      <c r="G33" s="22" t="s">
        <v>18</v>
      </c>
      <c r="H33" s="21" t="s">
        <v>16</v>
      </c>
      <c r="I33" s="22" t="s">
        <v>17</v>
      </c>
      <c r="J33" s="22" t="s">
        <v>18</v>
      </c>
      <c r="K33" s="21" t="s">
        <v>16</v>
      </c>
      <c r="L33" s="22" t="s">
        <v>17</v>
      </c>
      <c r="M33" s="22" t="s">
        <v>18</v>
      </c>
    </row>
    <row r="34" spans="1:13" ht="21.75" customHeight="1" x14ac:dyDescent="0.25">
      <c r="A34" s="36"/>
      <c r="B34" s="37"/>
      <c r="C34" s="37" t="s">
        <v>47</v>
      </c>
      <c r="D34" s="37"/>
      <c r="E34" s="37"/>
      <c r="F34" s="38"/>
      <c r="G34" s="38"/>
      <c r="H34" s="37"/>
      <c r="I34" s="38"/>
      <c r="J34" s="38"/>
      <c r="K34" s="37">
        <f>K31</f>
        <v>370</v>
      </c>
      <c r="L34" s="38">
        <f>L31</f>
        <v>0.05</v>
      </c>
      <c r="M34" s="38">
        <f>M31</f>
        <v>18.5</v>
      </c>
    </row>
    <row r="35" spans="1:13" ht="21.95" customHeight="1" x14ac:dyDescent="0.25">
      <c r="A35" s="29" t="s">
        <v>48</v>
      </c>
      <c r="B35" s="30" t="s">
        <v>49</v>
      </c>
      <c r="C35" s="30" t="s">
        <v>22</v>
      </c>
      <c r="D35" s="30"/>
      <c r="E35" s="30"/>
      <c r="F35" s="31"/>
      <c r="G35" s="32">
        <f>E35*F35</f>
        <v>0</v>
      </c>
      <c r="H35" s="30">
        <v>12</v>
      </c>
      <c r="I35" s="32">
        <f>L34</f>
        <v>0.05</v>
      </c>
      <c r="J35" s="32">
        <f>H35*I35</f>
        <v>0.60000000000000009</v>
      </c>
      <c r="K35" s="33">
        <f>K34+E35-H35</f>
        <v>358</v>
      </c>
      <c r="L35" s="32">
        <v>0.05</v>
      </c>
      <c r="M35" s="34">
        <f>K35*L35</f>
        <v>17.900000000000002</v>
      </c>
    </row>
    <row r="36" spans="1:13" ht="21.95" customHeight="1" x14ac:dyDescent="0.25">
      <c r="A36" s="29">
        <v>45901</v>
      </c>
      <c r="B36" s="30">
        <v>56194</v>
      </c>
      <c r="C36" s="30" t="s">
        <v>29</v>
      </c>
      <c r="D36" s="30"/>
      <c r="E36" s="30">
        <v>100</v>
      </c>
      <c r="F36" s="32">
        <v>0.05</v>
      </c>
      <c r="G36" s="32">
        <f t="shared" ref="G36:G65" si="6">E36*F36</f>
        <v>5</v>
      </c>
      <c r="H36" s="30"/>
      <c r="I36" s="32">
        <f t="shared" ref="I36:I65" si="7">L35</f>
        <v>0.05</v>
      </c>
      <c r="J36" s="32">
        <f t="shared" ref="J36:J65" si="8">H36*I36</f>
        <v>0</v>
      </c>
      <c r="K36" s="33">
        <f t="shared" ref="K36:K66" si="9">K35+E36-H36</f>
        <v>458</v>
      </c>
      <c r="L36" s="32">
        <v>0.05</v>
      </c>
      <c r="M36" s="34">
        <f t="shared" ref="M36:M64" si="10">K36*L36</f>
        <v>22.900000000000002</v>
      </c>
    </row>
    <row r="37" spans="1:13" ht="21.95" customHeight="1" x14ac:dyDescent="0.25">
      <c r="A37" s="29">
        <v>45901</v>
      </c>
      <c r="B37" s="30" t="s">
        <v>50</v>
      </c>
      <c r="C37" s="30" t="s">
        <v>22</v>
      </c>
      <c r="D37" s="30"/>
      <c r="E37" s="30"/>
      <c r="F37" s="31"/>
      <c r="G37" s="32">
        <f t="shared" si="6"/>
        <v>0</v>
      </c>
      <c r="H37" s="30">
        <v>8</v>
      </c>
      <c r="I37" s="32">
        <f t="shared" si="7"/>
        <v>0.05</v>
      </c>
      <c r="J37" s="32">
        <f t="shared" si="8"/>
        <v>0.4</v>
      </c>
      <c r="K37" s="33">
        <f t="shared" si="9"/>
        <v>450</v>
      </c>
      <c r="L37" s="32">
        <v>0.05</v>
      </c>
      <c r="M37" s="34">
        <f t="shared" si="10"/>
        <v>22.5</v>
      </c>
    </row>
    <row r="38" spans="1:13" ht="21.95" customHeight="1" x14ac:dyDescent="0.25">
      <c r="A38" s="29">
        <v>45902</v>
      </c>
      <c r="B38" s="30" t="s">
        <v>51</v>
      </c>
      <c r="C38" s="30" t="s">
        <v>22</v>
      </c>
      <c r="D38" s="30"/>
      <c r="E38" s="30"/>
      <c r="F38" s="31"/>
      <c r="G38" s="32">
        <f t="shared" si="6"/>
        <v>0</v>
      </c>
      <c r="H38" s="30">
        <v>8</v>
      </c>
      <c r="I38" s="32">
        <f t="shared" si="7"/>
        <v>0.05</v>
      </c>
      <c r="J38" s="32">
        <f t="shared" si="8"/>
        <v>0.4</v>
      </c>
      <c r="K38" s="33">
        <f t="shared" si="9"/>
        <v>442</v>
      </c>
      <c r="L38" s="32">
        <v>0.05</v>
      </c>
      <c r="M38" s="34">
        <f t="shared" si="10"/>
        <v>22.1</v>
      </c>
    </row>
    <row r="39" spans="1:13" ht="21.95" customHeight="1" x14ac:dyDescent="0.25">
      <c r="A39" s="29">
        <v>45903</v>
      </c>
      <c r="B39" s="30" t="s">
        <v>52</v>
      </c>
      <c r="C39" s="30" t="s">
        <v>22</v>
      </c>
      <c r="D39" s="30"/>
      <c r="E39" s="30"/>
      <c r="F39" s="31"/>
      <c r="G39" s="32">
        <f t="shared" si="6"/>
        <v>0</v>
      </c>
      <c r="H39" s="30">
        <v>16</v>
      </c>
      <c r="I39" s="32">
        <f t="shared" si="7"/>
        <v>0.05</v>
      </c>
      <c r="J39" s="32">
        <f t="shared" si="8"/>
        <v>0.8</v>
      </c>
      <c r="K39" s="33">
        <f t="shared" si="9"/>
        <v>426</v>
      </c>
      <c r="L39" s="32">
        <v>0.05</v>
      </c>
      <c r="M39" s="34">
        <f t="shared" si="10"/>
        <v>21.3</v>
      </c>
    </row>
    <row r="40" spans="1:13" ht="21.95" customHeight="1" x14ac:dyDescent="0.25">
      <c r="A40" s="29" t="s">
        <v>53</v>
      </c>
      <c r="B40" s="30" t="s">
        <v>54</v>
      </c>
      <c r="C40" s="30" t="s">
        <v>22</v>
      </c>
      <c r="D40" s="30"/>
      <c r="E40" s="30"/>
      <c r="F40" s="31"/>
      <c r="G40" s="32">
        <f t="shared" si="6"/>
        <v>0</v>
      </c>
      <c r="H40" s="30">
        <v>39</v>
      </c>
      <c r="I40" s="32">
        <f t="shared" si="7"/>
        <v>0.05</v>
      </c>
      <c r="J40" s="32">
        <f t="shared" si="8"/>
        <v>1.9500000000000002</v>
      </c>
      <c r="K40" s="33">
        <f t="shared" si="9"/>
        <v>387</v>
      </c>
      <c r="L40" s="32">
        <v>0.05</v>
      </c>
      <c r="M40" s="34">
        <f t="shared" si="10"/>
        <v>19.350000000000001</v>
      </c>
    </row>
    <row r="41" spans="1:13" ht="21.95" customHeight="1" x14ac:dyDescent="0.25">
      <c r="A41" s="29">
        <v>45908</v>
      </c>
      <c r="B41" s="30" t="s">
        <v>55</v>
      </c>
      <c r="C41" s="30" t="s">
        <v>22</v>
      </c>
      <c r="D41" s="30"/>
      <c r="E41" s="30"/>
      <c r="F41" s="31"/>
      <c r="G41" s="32">
        <f t="shared" si="6"/>
        <v>0</v>
      </c>
      <c r="H41" s="30">
        <v>14</v>
      </c>
      <c r="I41" s="32">
        <f t="shared" si="7"/>
        <v>0.05</v>
      </c>
      <c r="J41" s="32">
        <f t="shared" si="8"/>
        <v>0.70000000000000007</v>
      </c>
      <c r="K41" s="33">
        <f t="shared" si="9"/>
        <v>373</v>
      </c>
      <c r="L41" s="32">
        <v>0.05</v>
      </c>
      <c r="M41" s="34">
        <f t="shared" si="10"/>
        <v>18.650000000000002</v>
      </c>
    </row>
    <row r="42" spans="1:13" ht="21.95" customHeight="1" x14ac:dyDescent="0.25">
      <c r="A42" s="29">
        <v>45909</v>
      </c>
      <c r="B42" s="30" t="s">
        <v>56</v>
      </c>
      <c r="C42" s="30" t="s">
        <v>22</v>
      </c>
      <c r="D42" s="30"/>
      <c r="E42" s="30"/>
      <c r="F42" s="31"/>
      <c r="G42" s="32">
        <f t="shared" si="6"/>
        <v>0</v>
      </c>
      <c r="H42" s="30">
        <v>9</v>
      </c>
      <c r="I42" s="32">
        <f t="shared" si="7"/>
        <v>0.05</v>
      </c>
      <c r="J42" s="32">
        <f t="shared" si="8"/>
        <v>0.45</v>
      </c>
      <c r="K42" s="33">
        <f t="shared" si="9"/>
        <v>364</v>
      </c>
      <c r="L42" s="32">
        <v>0.05</v>
      </c>
      <c r="M42" s="34">
        <f>K42*L42</f>
        <v>18.2</v>
      </c>
    </row>
    <row r="43" spans="1:13" ht="21.95" customHeight="1" x14ac:dyDescent="0.25">
      <c r="A43" s="29">
        <v>45910</v>
      </c>
      <c r="B43" s="30" t="s">
        <v>57</v>
      </c>
      <c r="C43" s="30" t="s">
        <v>22</v>
      </c>
      <c r="D43" s="30"/>
      <c r="E43" s="30"/>
      <c r="F43" s="31"/>
      <c r="G43" s="32">
        <f t="shared" si="6"/>
        <v>0</v>
      </c>
      <c r="H43" s="30">
        <v>4</v>
      </c>
      <c r="I43" s="32">
        <f t="shared" si="7"/>
        <v>0.05</v>
      </c>
      <c r="J43" s="32">
        <f t="shared" si="8"/>
        <v>0.2</v>
      </c>
      <c r="K43" s="33">
        <f t="shared" si="9"/>
        <v>360</v>
      </c>
      <c r="L43" s="32">
        <v>0.05</v>
      </c>
      <c r="M43" s="34">
        <f t="shared" si="10"/>
        <v>18</v>
      </c>
    </row>
    <row r="44" spans="1:13" ht="21.95" customHeight="1" x14ac:dyDescent="0.25">
      <c r="A44" s="29">
        <v>45911</v>
      </c>
      <c r="B44" s="30" t="s">
        <v>58</v>
      </c>
      <c r="C44" s="30" t="s">
        <v>22</v>
      </c>
      <c r="D44" s="30"/>
      <c r="E44" s="30"/>
      <c r="F44" s="31"/>
      <c r="G44" s="32">
        <f t="shared" si="6"/>
        <v>0</v>
      </c>
      <c r="H44" s="30">
        <v>8</v>
      </c>
      <c r="I44" s="32">
        <f t="shared" si="7"/>
        <v>0.05</v>
      </c>
      <c r="J44" s="32">
        <f t="shared" si="8"/>
        <v>0.4</v>
      </c>
      <c r="K44" s="33">
        <f t="shared" si="9"/>
        <v>352</v>
      </c>
      <c r="L44" s="32">
        <v>0.05</v>
      </c>
      <c r="M44" s="34">
        <f t="shared" si="10"/>
        <v>17.600000000000001</v>
      </c>
    </row>
    <row r="45" spans="1:13" ht="21.95" customHeight="1" x14ac:dyDescent="0.25">
      <c r="A45" s="29" t="s">
        <v>59</v>
      </c>
      <c r="B45" s="30" t="s">
        <v>60</v>
      </c>
      <c r="C45" s="30" t="s">
        <v>22</v>
      </c>
      <c r="D45" s="30"/>
      <c r="E45" s="30"/>
      <c r="F45" s="31"/>
      <c r="G45" s="32">
        <f t="shared" si="6"/>
        <v>0</v>
      </c>
      <c r="H45" s="30">
        <v>151</v>
      </c>
      <c r="I45" s="32">
        <f t="shared" si="7"/>
        <v>0.05</v>
      </c>
      <c r="J45" s="32">
        <f t="shared" si="8"/>
        <v>7.5500000000000007</v>
      </c>
      <c r="K45" s="33">
        <f t="shared" si="9"/>
        <v>201</v>
      </c>
      <c r="L45" s="32">
        <v>0.05</v>
      </c>
      <c r="M45" s="34">
        <f t="shared" si="10"/>
        <v>10.050000000000001</v>
      </c>
    </row>
    <row r="46" spans="1:13" ht="21.95" customHeight="1" x14ac:dyDescent="0.25">
      <c r="A46" s="29">
        <v>45916</v>
      </c>
      <c r="B46" s="30" t="s">
        <v>61</v>
      </c>
      <c r="C46" s="30" t="s">
        <v>22</v>
      </c>
      <c r="D46" s="30"/>
      <c r="E46" s="30"/>
      <c r="F46" s="31"/>
      <c r="G46" s="32">
        <f t="shared" si="6"/>
        <v>0</v>
      </c>
      <c r="H46" s="30">
        <v>13</v>
      </c>
      <c r="I46" s="32">
        <f t="shared" si="7"/>
        <v>0.05</v>
      </c>
      <c r="J46" s="32">
        <f t="shared" si="8"/>
        <v>0.65</v>
      </c>
      <c r="K46" s="33">
        <f t="shared" si="9"/>
        <v>188</v>
      </c>
      <c r="L46" s="32">
        <v>0.05</v>
      </c>
      <c r="M46" s="34">
        <f t="shared" si="10"/>
        <v>9.4</v>
      </c>
    </row>
    <row r="47" spans="1:13" ht="21.95" customHeight="1" x14ac:dyDescent="0.25">
      <c r="A47" s="29">
        <v>45917</v>
      </c>
      <c r="B47" s="30">
        <v>60212</v>
      </c>
      <c r="C47" s="30" t="s">
        <v>29</v>
      </c>
      <c r="D47" s="30"/>
      <c r="E47" s="30">
        <v>100</v>
      </c>
      <c r="F47" s="31">
        <v>0.05</v>
      </c>
      <c r="G47" s="32">
        <f t="shared" si="6"/>
        <v>5</v>
      </c>
      <c r="H47" s="30"/>
      <c r="I47" s="32">
        <f t="shared" si="7"/>
        <v>0.05</v>
      </c>
      <c r="J47" s="32">
        <f t="shared" si="8"/>
        <v>0</v>
      </c>
      <c r="K47" s="33">
        <f t="shared" si="9"/>
        <v>288</v>
      </c>
      <c r="L47" s="32">
        <v>0.05</v>
      </c>
      <c r="M47" s="34">
        <f t="shared" si="10"/>
        <v>14.4</v>
      </c>
    </row>
    <row r="48" spans="1:13" ht="21.95" customHeight="1" x14ac:dyDescent="0.25">
      <c r="A48" s="29">
        <v>45917</v>
      </c>
      <c r="B48" s="30" t="s">
        <v>62</v>
      </c>
      <c r="C48" s="30" t="s">
        <v>22</v>
      </c>
      <c r="D48" s="30"/>
      <c r="E48" s="30"/>
      <c r="F48" s="31"/>
      <c r="G48" s="32">
        <f t="shared" si="6"/>
        <v>0</v>
      </c>
      <c r="H48" s="30">
        <v>14</v>
      </c>
      <c r="I48" s="32">
        <f t="shared" si="7"/>
        <v>0.05</v>
      </c>
      <c r="J48" s="32">
        <f t="shared" si="8"/>
        <v>0.70000000000000007</v>
      </c>
      <c r="K48" s="33">
        <f t="shared" si="9"/>
        <v>274</v>
      </c>
      <c r="L48" s="32">
        <v>0.05</v>
      </c>
      <c r="M48" s="34">
        <f t="shared" si="10"/>
        <v>13.700000000000001</v>
      </c>
    </row>
    <row r="49" spans="1:13" ht="21.95" customHeight="1" x14ac:dyDescent="0.25">
      <c r="A49" s="29">
        <v>45918</v>
      </c>
      <c r="B49" s="30" t="s">
        <v>63</v>
      </c>
      <c r="C49" s="30" t="s">
        <v>22</v>
      </c>
      <c r="D49" s="30"/>
      <c r="E49" s="30"/>
      <c r="F49" s="31"/>
      <c r="G49" s="32">
        <f t="shared" si="6"/>
        <v>0</v>
      </c>
      <c r="H49" s="30">
        <v>11</v>
      </c>
      <c r="I49" s="32">
        <f t="shared" si="7"/>
        <v>0.05</v>
      </c>
      <c r="J49" s="32">
        <f t="shared" si="8"/>
        <v>0.55000000000000004</v>
      </c>
      <c r="K49" s="33">
        <f t="shared" si="9"/>
        <v>263</v>
      </c>
      <c r="L49" s="32">
        <v>0.05</v>
      </c>
      <c r="M49" s="34">
        <f>K49*L49</f>
        <v>13.15</v>
      </c>
    </row>
    <row r="50" spans="1:13" ht="21.95" customHeight="1" x14ac:dyDescent="0.25">
      <c r="A50" s="29">
        <v>45919</v>
      </c>
      <c r="B50" s="30">
        <v>60214</v>
      </c>
      <c r="C50" s="30" t="s">
        <v>29</v>
      </c>
      <c r="D50" s="30"/>
      <c r="E50" s="30">
        <v>100</v>
      </c>
      <c r="F50" s="31">
        <v>0.05</v>
      </c>
      <c r="G50" s="32">
        <f t="shared" si="6"/>
        <v>5</v>
      </c>
      <c r="H50" s="30"/>
      <c r="I50" s="32">
        <f t="shared" si="7"/>
        <v>0.05</v>
      </c>
      <c r="J50" s="32">
        <f t="shared" si="8"/>
        <v>0</v>
      </c>
      <c r="K50" s="33">
        <f t="shared" si="9"/>
        <v>363</v>
      </c>
      <c r="L50" s="32">
        <v>0.05</v>
      </c>
      <c r="M50" s="34">
        <f t="shared" si="10"/>
        <v>18.150000000000002</v>
      </c>
    </row>
    <row r="51" spans="1:13" ht="21.95" customHeight="1" x14ac:dyDescent="0.25">
      <c r="A51" s="29" t="s">
        <v>64</v>
      </c>
      <c r="B51" s="30" t="s">
        <v>65</v>
      </c>
      <c r="C51" s="30" t="s">
        <v>22</v>
      </c>
      <c r="D51" s="30"/>
      <c r="E51" s="30"/>
      <c r="F51" s="31"/>
      <c r="G51" s="32">
        <f t="shared" si="6"/>
        <v>0</v>
      </c>
      <c r="H51" s="30">
        <v>187</v>
      </c>
      <c r="I51" s="32">
        <f t="shared" si="7"/>
        <v>0.05</v>
      </c>
      <c r="J51" s="32">
        <f t="shared" si="8"/>
        <v>9.35</v>
      </c>
      <c r="K51" s="33">
        <f t="shared" si="9"/>
        <v>176</v>
      </c>
      <c r="L51" s="32">
        <v>0.05</v>
      </c>
      <c r="M51" s="34">
        <f t="shared" si="10"/>
        <v>8.8000000000000007</v>
      </c>
    </row>
    <row r="52" spans="1:13" ht="21.95" customHeight="1" x14ac:dyDescent="0.25">
      <c r="A52" s="29">
        <v>45922</v>
      </c>
      <c r="B52" s="30">
        <v>60216</v>
      </c>
      <c r="C52" s="30" t="s">
        <v>29</v>
      </c>
      <c r="D52" s="30"/>
      <c r="E52" s="30">
        <v>200</v>
      </c>
      <c r="F52" s="31">
        <v>0.05</v>
      </c>
      <c r="G52" s="32">
        <f t="shared" si="6"/>
        <v>10</v>
      </c>
      <c r="H52" s="30"/>
      <c r="I52" s="32">
        <f t="shared" si="7"/>
        <v>0.05</v>
      </c>
      <c r="J52" s="32">
        <f t="shared" si="8"/>
        <v>0</v>
      </c>
      <c r="K52" s="33">
        <f t="shared" si="9"/>
        <v>376</v>
      </c>
      <c r="L52" s="32">
        <v>0.05</v>
      </c>
      <c r="M52" s="34">
        <f t="shared" si="10"/>
        <v>18.8</v>
      </c>
    </row>
    <row r="53" spans="1:13" ht="21.95" customHeight="1" x14ac:dyDescent="0.25">
      <c r="A53" s="29">
        <v>45922</v>
      </c>
      <c r="B53" s="30" t="s">
        <v>66</v>
      </c>
      <c r="C53" s="30" t="s">
        <v>22</v>
      </c>
      <c r="D53" s="30"/>
      <c r="E53" s="30"/>
      <c r="F53" s="31"/>
      <c r="G53" s="32">
        <f t="shared" si="6"/>
        <v>0</v>
      </c>
      <c r="H53" s="30">
        <v>12</v>
      </c>
      <c r="I53" s="32">
        <f t="shared" si="7"/>
        <v>0.05</v>
      </c>
      <c r="J53" s="32">
        <f t="shared" si="8"/>
        <v>0.60000000000000009</v>
      </c>
      <c r="K53" s="33">
        <f t="shared" si="9"/>
        <v>364</v>
      </c>
      <c r="L53" s="32">
        <v>0.05</v>
      </c>
      <c r="M53" s="34">
        <f t="shared" si="10"/>
        <v>18.2</v>
      </c>
    </row>
    <row r="54" spans="1:13" ht="21.95" customHeight="1" x14ac:dyDescent="0.25">
      <c r="A54" s="29">
        <v>45923</v>
      </c>
      <c r="B54" s="30" t="s">
        <v>67</v>
      </c>
      <c r="C54" s="30" t="s">
        <v>22</v>
      </c>
      <c r="D54" s="30"/>
      <c r="E54" s="30"/>
      <c r="F54" s="31"/>
      <c r="G54" s="32">
        <f t="shared" si="6"/>
        <v>0</v>
      </c>
      <c r="H54" s="30">
        <v>30</v>
      </c>
      <c r="I54" s="32">
        <f t="shared" si="7"/>
        <v>0.05</v>
      </c>
      <c r="J54" s="32">
        <f t="shared" si="8"/>
        <v>1.5</v>
      </c>
      <c r="K54" s="33">
        <f t="shared" si="9"/>
        <v>334</v>
      </c>
      <c r="L54" s="32">
        <v>0.05</v>
      </c>
      <c r="M54" s="34">
        <f t="shared" si="10"/>
        <v>16.7</v>
      </c>
    </row>
    <row r="55" spans="1:13" ht="21.95" customHeight="1" x14ac:dyDescent="0.25">
      <c r="A55" s="29">
        <v>45924</v>
      </c>
      <c r="B55" s="30">
        <v>60218</v>
      </c>
      <c r="C55" s="30" t="s">
        <v>29</v>
      </c>
      <c r="D55" s="30"/>
      <c r="E55" s="30">
        <v>200</v>
      </c>
      <c r="F55" s="31">
        <v>0.05</v>
      </c>
      <c r="G55" s="32">
        <f t="shared" si="6"/>
        <v>10</v>
      </c>
      <c r="H55" s="30"/>
      <c r="I55" s="32">
        <f t="shared" si="7"/>
        <v>0.05</v>
      </c>
      <c r="J55" s="32">
        <f t="shared" si="8"/>
        <v>0</v>
      </c>
      <c r="K55" s="33">
        <f t="shared" si="9"/>
        <v>534</v>
      </c>
      <c r="L55" s="32">
        <v>0.05</v>
      </c>
      <c r="M55" s="34">
        <f t="shared" si="10"/>
        <v>26.700000000000003</v>
      </c>
    </row>
    <row r="56" spans="1:13" ht="21.95" customHeight="1" x14ac:dyDescent="0.25">
      <c r="A56" s="29">
        <v>45924</v>
      </c>
      <c r="B56" s="30" t="s">
        <v>68</v>
      </c>
      <c r="C56" s="30" t="s">
        <v>22</v>
      </c>
      <c r="D56" s="30"/>
      <c r="E56" s="30"/>
      <c r="F56" s="31"/>
      <c r="G56" s="32">
        <f t="shared" si="6"/>
        <v>0</v>
      </c>
      <c r="H56" s="30">
        <v>16</v>
      </c>
      <c r="I56" s="32">
        <f t="shared" si="7"/>
        <v>0.05</v>
      </c>
      <c r="J56" s="32">
        <f t="shared" si="8"/>
        <v>0.8</v>
      </c>
      <c r="K56" s="33">
        <f t="shared" si="9"/>
        <v>518</v>
      </c>
      <c r="L56" s="32">
        <v>0.05</v>
      </c>
      <c r="M56" s="34">
        <f>K56*L56</f>
        <v>25.900000000000002</v>
      </c>
    </row>
    <row r="57" spans="1:13" ht="21.95" customHeight="1" x14ac:dyDescent="0.25">
      <c r="A57" s="29">
        <v>45925</v>
      </c>
      <c r="B57" s="30" t="s">
        <v>69</v>
      </c>
      <c r="C57" s="30" t="s">
        <v>22</v>
      </c>
      <c r="D57" s="30"/>
      <c r="E57" s="30"/>
      <c r="F57" s="31"/>
      <c r="G57" s="32">
        <f t="shared" si="6"/>
        <v>0</v>
      </c>
      <c r="H57" s="30">
        <v>12</v>
      </c>
      <c r="I57" s="32">
        <f t="shared" si="7"/>
        <v>0.05</v>
      </c>
      <c r="J57" s="32">
        <f t="shared" si="8"/>
        <v>0.60000000000000009</v>
      </c>
      <c r="K57" s="33">
        <f t="shared" si="9"/>
        <v>506</v>
      </c>
      <c r="L57" s="32">
        <v>0.05</v>
      </c>
      <c r="M57" s="34">
        <f t="shared" si="10"/>
        <v>25.3</v>
      </c>
    </row>
    <row r="58" spans="1:13" ht="21.95" customHeight="1" x14ac:dyDescent="0.25">
      <c r="A58" s="29">
        <v>45926</v>
      </c>
      <c r="B58" s="30">
        <v>60226</v>
      </c>
      <c r="C58" s="30" t="s">
        <v>29</v>
      </c>
      <c r="D58" s="30"/>
      <c r="E58" s="30">
        <v>300</v>
      </c>
      <c r="F58" s="31">
        <v>0.05</v>
      </c>
      <c r="G58" s="32">
        <f t="shared" si="6"/>
        <v>15</v>
      </c>
      <c r="H58" s="30"/>
      <c r="I58" s="32">
        <f t="shared" si="7"/>
        <v>0.05</v>
      </c>
      <c r="J58" s="32">
        <f t="shared" si="8"/>
        <v>0</v>
      </c>
      <c r="K58" s="33">
        <f t="shared" si="9"/>
        <v>806</v>
      </c>
      <c r="L58" s="32">
        <v>0.05</v>
      </c>
      <c r="M58" s="34">
        <f t="shared" si="10"/>
        <v>40.300000000000004</v>
      </c>
    </row>
    <row r="59" spans="1:13" ht="21.95" customHeight="1" x14ac:dyDescent="0.25">
      <c r="A59" s="29" t="s">
        <v>70</v>
      </c>
      <c r="B59" s="30" t="s">
        <v>71</v>
      </c>
      <c r="C59" s="30" t="s">
        <v>22</v>
      </c>
      <c r="D59" s="30"/>
      <c r="E59" s="30"/>
      <c r="F59" s="31"/>
      <c r="G59" s="32">
        <f t="shared" si="6"/>
        <v>0</v>
      </c>
      <c r="H59" s="30">
        <v>137</v>
      </c>
      <c r="I59" s="32">
        <f t="shared" si="7"/>
        <v>0.05</v>
      </c>
      <c r="J59" s="32">
        <f t="shared" si="8"/>
        <v>6.8500000000000005</v>
      </c>
      <c r="K59" s="33">
        <f t="shared" si="9"/>
        <v>669</v>
      </c>
      <c r="L59" s="32">
        <v>0.05</v>
      </c>
      <c r="M59" s="34">
        <f t="shared" si="10"/>
        <v>33.450000000000003</v>
      </c>
    </row>
    <row r="60" spans="1:13" ht="26.25" customHeight="1" x14ac:dyDescent="0.25">
      <c r="A60" s="29">
        <v>45929</v>
      </c>
      <c r="B60" s="30" t="s">
        <v>72</v>
      </c>
      <c r="C60" s="39" t="s">
        <v>22</v>
      </c>
      <c r="D60" s="30"/>
      <c r="E60" s="30"/>
      <c r="F60" s="31"/>
      <c r="G60" s="32">
        <f t="shared" si="6"/>
        <v>0</v>
      </c>
      <c r="H60" s="30">
        <v>21</v>
      </c>
      <c r="I60" s="32">
        <f t="shared" si="7"/>
        <v>0.05</v>
      </c>
      <c r="J60" s="32">
        <f t="shared" si="8"/>
        <v>1.05</v>
      </c>
      <c r="K60" s="33">
        <f t="shared" si="9"/>
        <v>648</v>
      </c>
      <c r="L60" s="32">
        <v>0.05</v>
      </c>
      <c r="M60" s="34">
        <f t="shared" si="10"/>
        <v>32.4</v>
      </c>
    </row>
    <row r="61" spans="1:13" ht="21.95" customHeight="1" x14ac:dyDescent="0.25">
      <c r="A61" s="29">
        <v>45930</v>
      </c>
      <c r="B61" s="30" t="s">
        <v>73</v>
      </c>
      <c r="C61" s="30" t="s">
        <v>22</v>
      </c>
      <c r="D61" s="30"/>
      <c r="E61" s="40"/>
      <c r="F61" s="31"/>
      <c r="G61" s="32">
        <f t="shared" si="6"/>
        <v>0</v>
      </c>
      <c r="H61" s="30">
        <v>35</v>
      </c>
      <c r="I61" s="32">
        <f t="shared" si="7"/>
        <v>0.05</v>
      </c>
      <c r="J61" s="32">
        <f t="shared" si="8"/>
        <v>1.75</v>
      </c>
      <c r="K61" s="33">
        <f t="shared" si="9"/>
        <v>613</v>
      </c>
      <c r="L61" s="32">
        <v>0.05</v>
      </c>
      <c r="M61" s="34">
        <f t="shared" si="10"/>
        <v>30.650000000000002</v>
      </c>
    </row>
    <row r="62" spans="1:13" ht="21.95" customHeight="1" x14ac:dyDescent="0.25">
      <c r="A62" s="29">
        <v>45931</v>
      </c>
      <c r="B62" s="30">
        <v>60231</v>
      </c>
      <c r="C62" s="30" t="s">
        <v>29</v>
      </c>
      <c r="D62" s="30"/>
      <c r="E62" s="30">
        <v>500</v>
      </c>
      <c r="F62" s="32">
        <v>0.05</v>
      </c>
      <c r="G62" s="32">
        <f t="shared" si="6"/>
        <v>25</v>
      </c>
      <c r="H62" s="30"/>
      <c r="I62" s="32">
        <f t="shared" si="7"/>
        <v>0.05</v>
      </c>
      <c r="J62" s="32">
        <f t="shared" si="8"/>
        <v>0</v>
      </c>
      <c r="K62" s="33">
        <f t="shared" si="9"/>
        <v>1113</v>
      </c>
      <c r="L62" s="32">
        <v>0.05</v>
      </c>
      <c r="M62" s="34">
        <f>K62*L62</f>
        <v>55.650000000000006</v>
      </c>
    </row>
    <row r="63" spans="1:13" ht="21.95" customHeight="1" x14ac:dyDescent="0.25">
      <c r="A63" s="29">
        <v>45931</v>
      </c>
      <c r="B63" s="30" t="s">
        <v>74</v>
      </c>
      <c r="C63" s="30" t="s">
        <v>22</v>
      </c>
      <c r="D63" s="30"/>
      <c r="E63" s="30"/>
      <c r="F63" s="32"/>
      <c r="G63" s="32">
        <f t="shared" si="6"/>
        <v>0</v>
      </c>
      <c r="H63" s="30">
        <v>44</v>
      </c>
      <c r="I63" s="32">
        <f t="shared" si="7"/>
        <v>0.05</v>
      </c>
      <c r="J63" s="32">
        <f t="shared" si="8"/>
        <v>2.2000000000000002</v>
      </c>
      <c r="K63" s="33">
        <f t="shared" si="9"/>
        <v>1069</v>
      </c>
      <c r="L63" s="32">
        <v>0.05</v>
      </c>
      <c r="M63" s="34">
        <f>K63*L63</f>
        <v>53.45</v>
      </c>
    </row>
    <row r="64" spans="1:13" ht="21.95" customHeight="1" x14ac:dyDescent="0.25">
      <c r="A64" s="29">
        <v>45932</v>
      </c>
      <c r="B64" s="30" t="s">
        <v>75</v>
      </c>
      <c r="C64" s="30" t="s">
        <v>22</v>
      </c>
      <c r="D64" s="30"/>
      <c r="E64" s="30"/>
      <c r="F64" s="31"/>
      <c r="G64" s="32">
        <f t="shared" si="6"/>
        <v>0</v>
      </c>
      <c r="H64" s="30">
        <v>51</v>
      </c>
      <c r="I64" s="32">
        <f t="shared" si="7"/>
        <v>0.05</v>
      </c>
      <c r="J64" s="32">
        <f t="shared" si="8"/>
        <v>2.5500000000000003</v>
      </c>
      <c r="K64" s="41">
        <f t="shared" si="9"/>
        <v>1018</v>
      </c>
      <c r="L64" s="32">
        <v>0.05</v>
      </c>
      <c r="M64" s="34">
        <f t="shared" si="10"/>
        <v>50.900000000000006</v>
      </c>
    </row>
    <row r="65" spans="1:13" ht="21.95" customHeight="1" x14ac:dyDescent="0.25">
      <c r="A65" s="29" t="s">
        <v>76</v>
      </c>
      <c r="B65" s="30" t="s">
        <v>77</v>
      </c>
      <c r="C65" s="30" t="s">
        <v>22</v>
      </c>
      <c r="D65" s="30"/>
      <c r="E65" s="30"/>
      <c r="F65" s="31"/>
      <c r="G65" s="32">
        <f t="shared" si="6"/>
        <v>0</v>
      </c>
      <c r="H65" s="30">
        <v>119</v>
      </c>
      <c r="I65" s="32">
        <f t="shared" si="7"/>
        <v>0.05</v>
      </c>
      <c r="J65" s="32">
        <f t="shared" si="8"/>
        <v>5.95</v>
      </c>
      <c r="K65" s="33">
        <f t="shared" si="9"/>
        <v>899</v>
      </c>
      <c r="L65" s="32">
        <v>0.05</v>
      </c>
      <c r="M65" s="34">
        <f>K65*L65</f>
        <v>44.95</v>
      </c>
    </row>
    <row r="66" spans="1:13" ht="21.75" customHeight="1" x14ac:dyDescent="0.25">
      <c r="A66" s="36"/>
      <c r="B66" s="37"/>
      <c r="C66" s="42" t="s">
        <v>78</v>
      </c>
      <c r="D66" s="37"/>
      <c r="E66" s="37"/>
      <c r="F66" s="38"/>
      <c r="G66" s="38"/>
      <c r="H66" s="37"/>
      <c r="I66" s="38"/>
      <c r="J66" s="38"/>
      <c r="K66" s="43">
        <f t="shared" si="9"/>
        <v>899</v>
      </c>
      <c r="L66" s="44">
        <v>0.05</v>
      </c>
      <c r="M66" s="45">
        <f>K66*L66</f>
        <v>44.95</v>
      </c>
    </row>
    <row r="67" spans="1:13" ht="50.1" customHeight="1" x14ac:dyDescent="0.25">
      <c r="A67" s="46"/>
      <c r="B67" s="47"/>
      <c r="C67" s="47"/>
      <c r="D67" s="47"/>
      <c r="E67" s="47">
        <f>SUM(E10:E30,E35:E65)</f>
        <v>2000</v>
      </c>
      <c r="F67" s="48"/>
      <c r="G67" s="47"/>
      <c r="H67" s="47">
        <f>SUM(H10:H30,H35:H65)</f>
        <v>1292</v>
      </c>
      <c r="I67" s="48"/>
      <c r="J67" s="48"/>
      <c r="K67" s="47">
        <f>K9+E67-H67</f>
        <v>899</v>
      </c>
      <c r="L67" s="48"/>
      <c r="M67" s="48"/>
    </row>
    <row r="68" spans="1:13" ht="15.75" x14ac:dyDescent="0.25"/>
    <row r="69" spans="1:13" ht="15.75" x14ac:dyDescent="0.25"/>
    <row r="70" spans="1:13" ht="15.75" x14ac:dyDescent="0.25"/>
    <row r="71" spans="1:13" ht="15.75" x14ac:dyDescent="0.25"/>
    <row r="72" spans="1:13" ht="15.75" x14ac:dyDescent="0.25"/>
    <row r="73" spans="1:13" ht="15.75" x14ac:dyDescent="0.25"/>
    <row r="74" spans="1:13" ht="15.75" x14ac:dyDescent="0.25"/>
    <row r="75" spans="1:13" ht="15.75" x14ac:dyDescent="0.25"/>
    <row r="76" spans="1:13" ht="15.75" x14ac:dyDescent="0.25"/>
    <row r="77" spans="1:13" ht="15.75" x14ac:dyDescent="0.25"/>
    <row r="78" spans="1:13" ht="15.75" x14ac:dyDescent="0.25"/>
    <row r="79" spans="1:13" ht="15.75" x14ac:dyDescent="0.25"/>
    <row r="80" spans="1:13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idden="1" x14ac:dyDescent="0.25"/>
    <row r="130" hidden="1" x14ac:dyDescent="0.25"/>
    <row r="131" hidden="1" x14ac:dyDescent="0.25"/>
    <row r="132" hidden="1" x14ac:dyDescent="0.25"/>
  </sheetData>
  <mergeCells count="27">
    <mergeCell ref="K32:M32"/>
    <mergeCell ref="A32:A33"/>
    <mergeCell ref="B32:B33"/>
    <mergeCell ref="C32:C33"/>
    <mergeCell ref="D32:D33"/>
    <mergeCell ref="E32:G32"/>
    <mergeCell ref="H32:J32"/>
    <mergeCell ref="M4:M5"/>
    <mergeCell ref="A5:B5"/>
    <mergeCell ref="C5:G5"/>
    <mergeCell ref="A7:A8"/>
    <mergeCell ref="B7:B8"/>
    <mergeCell ref="C7:C8"/>
    <mergeCell ref="D7:D8"/>
    <mergeCell ref="E7:G7"/>
    <mergeCell ref="H7:J7"/>
    <mergeCell ref="K7:M7"/>
    <mergeCell ref="A1:B1"/>
    <mergeCell ref="C1:G1"/>
    <mergeCell ref="J1:K2"/>
    <mergeCell ref="L1:M1"/>
    <mergeCell ref="L2:L3"/>
    <mergeCell ref="M2:M3"/>
    <mergeCell ref="A3:B3"/>
    <mergeCell ref="C3:G3"/>
    <mergeCell ref="J3:K5"/>
    <mergeCell ref="L4:L5"/>
  </mergeCells>
  <conditionalFormatting sqref="A27">
    <cfRule type="cellIs" dxfId="10" priority="5" operator="equal">
      <formula>0</formula>
    </cfRule>
  </conditionalFormatting>
  <conditionalFormatting sqref="A26:C26">
    <cfRule type="cellIs" dxfId="9" priority="6" operator="equal">
      <formula>0</formula>
    </cfRule>
    <cfRule type="containsBlanks" priority="7">
      <formula>LEN(TRIM(A26))=0</formula>
    </cfRule>
  </conditionalFormatting>
  <conditionalFormatting sqref="A45:C45">
    <cfRule type="cellIs" dxfId="8" priority="8" operator="equal">
      <formula>0</formula>
    </cfRule>
    <cfRule type="containsBlanks" priority="9">
      <formula>LEN(TRIM(A45))=0</formula>
    </cfRule>
  </conditionalFormatting>
  <conditionalFormatting sqref="C19:C20">
    <cfRule type="cellIs" dxfId="7" priority="10" operator="equal">
      <formula>0</formula>
    </cfRule>
  </conditionalFormatting>
  <conditionalFormatting sqref="C38">
    <cfRule type="cellIs" dxfId="6" priority="4" operator="equal">
      <formula>0</formula>
    </cfRule>
  </conditionalFormatting>
  <conditionalFormatting sqref="K10:K30">
    <cfRule type="cellIs" dxfId="5" priority="12" operator="lessThan">
      <formula>0</formula>
    </cfRule>
  </conditionalFormatting>
  <conditionalFormatting sqref="K35:K66">
    <cfRule type="cellIs" dxfId="4" priority="1" operator="lessThan">
      <formula>0</formula>
    </cfRule>
  </conditionalFormatting>
  <conditionalFormatting sqref="K10:L30">
    <cfRule type="cellIs" dxfId="3" priority="14" operator="equal">
      <formula>0</formula>
    </cfRule>
  </conditionalFormatting>
  <conditionalFormatting sqref="K35:L66">
    <cfRule type="cellIs" dxfId="2" priority="3" operator="equal">
      <formula>0</formula>
    </cfRule>
  </conditionalFormatting>
  <conditionalFormatting sqref="L10:L30">
    <cfRule type="containsErrors" dxfId="1" priority="13">
      <formula>ISERROR(L10)</formula>
    </cfRule>
  </conditionalFormatting>
  <conditionalFormatting sqref="L35:L66">
    <cfRule type="containsErrors" dxfId="0" priority="2">
      <formula>ISERROR(L35)</formula>
    </cfRule>
  </conditionalFormatting>
  <hyperlinks>
    <hyperlink ref="C5:G5" r:id="rId1" location="A!A1" display="ACETAMINOFEN - Tableta" xr:uid="{7EEFEB9C-6F33-423C-8DF5-62F0E9D2F4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Salazar, Ernesto Abinadab</dc:creator>
  <cp:lastModifiedBy>Martinez Salazar, Ernesto Abinadab</cp:lastModifiedBy>
  <dcterms:created xsi:type="dcterms:W3CDTF">2025-12-18T13:54:25Z</dcterms:created>
  <dcterms:modified xsi:type="dcterms:W3CDTF">2025-12-18T14:02:58Z</dcterms:modified>
</cp:coreProperties>
</file>